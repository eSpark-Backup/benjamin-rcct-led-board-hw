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enjamin-rcctledboard-hw\Design-Files\Main-Controller-Board-v1.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5" i="1" l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<sst xmlns="http://schemas.openxmlformats.org/spreadsheetml/2006/main" count="241" uniqueCount="177">
  <si>
    <t>#</t>
  </si>
  <si>
    <t>Item Type</t>
  </si>
  <si>
    <t>Capacitor</t>
  </si>
  <si>
    <t>Capacitors</t>
  </si>
  <si>
    <t>Diode</t>
  </si>
  <si>
    <t>Fuse</t>
  </si>
  <si>
    <t>Connector</t>
  </si>
  <si>
    <t>Inductor</t>
  </si>
  <si>
    <t>LED</t>
  </si>
  <si>
    <t>Transistors</t>
  </si>
  <si>
    <t>MOSFETs</t>
  </si>
  <si>
    <t>Resistor</t>
  </si>
  <si>
    <t>Switch</t>
  </si>
  <si>
    <t>IC</t>
  </si>
  <si>
    <t>Optoisolators</t>
  </si>
  <si>
    <t>Designator</t>
  </si>
  <si>
    <t>C1, C11</t>
  </si>
  <si>
    <t>C2, C3</t>
  </si>
  <si>
    <t>C4, C12, C13</t>
  </si>
  <si>
    <t>C5</t>
  </si>
  <si>
    <t>C6</t>
  </si>
  <si>
    <t>C7</t>
  </si>
  <si>
    <t>C8</t>
  </si>
  <si>
    <t>C9, C10, C16</t>
  </si>
  <si>
    <t>C14, C15, C18</t>
  </si>
  <si>
    <t>C17</t>
  </si>
  <si>
    <t>D1</t>
  </si>
  <si>
    <t>D2</t>
  </si>
  <si>
    <t>F1, F2</t>
  </si>
  <si>
    <t>J1</t>
  </si>
  <si>
    <t>J2, J3</t>
  </si>
  <si>
    <t>J5</t>
  </si>
  <si>
    <t>L1</t>
  </si>
  <si>
    <t>LED1</t>
  </si>
  <si>
    <t>Q1, Q2, Q3, Q4, Q7, Q9</t>
  </si>
  <si>
    <t>Q5, Q6, Q11</t>
  </si>
  <si>
    <t>Q8, Q10, Q12</t>
  </si>
  <si>
    <t>R3, R4</t>
  </si>
  <si>
    <t>R5, R12, R13, R20</t>
  </si>
  <si>
    <t>R6</t>
  </si>
  <si>
    <t>R7</t>
  </si>
  <si>
    <t>R8, R9, R10, R11, R16, R17</t>
  </si>
  <si>
    <t>R14, R15, R22</t>
  </si>
  <si>
    <t>R18, R19, R21</t>
  </si>
  <si>
    <t>SW1, SW2</t>
  </si>
  <si>
    <t>U1</t>
  </si>
  <si>
    <t>U2</t>
  </si>
  <si>
    <t>U3</t>
  </si>
  <si>
    <t>U5, U6, U7</t>
  </si>
  <si>
    <t>Description</t>
  </si>
  <si>
    <t>CAP CER 0.1UF 50V X7R 0402</t>
  </si>
  <si>
    <t>47uF 50V 66mA@120Hz ±20% SMD,D6.3xL7.7mm Aluminum Electrolytic Capacitors - SMD ROHS</t>
  </si>
  <si>
    <t>CAP CER 22UF 10V X5R 0805</t>
  </si>
  <si>
    <t>CAP CER 0.1UF 50V X7R 0603</t>
  </si>
  <si>
    <t>CAP CER 1UF 100V X7S 0805</t>
  </si>
  <si>
    <t>Multilayer Ceramic Capacitors MLCC - SMD/SMT 1210 10uF 63volts *Derate Voltage/Temp</t>
  </si>
  <si>
    <t>CAP CER 4.7UF 10V X5R 0402</t>
  </si>
  <si>
    <t>CAP CER 1UF 16V X5R 0402</t>
  </si>
  <si>
    <t>220uF 35V 600mA@100KHz 160mΩ@100KHz ±20% SMD,D6.3xL7.7mm Aluminum Electrolytic Capacitors - SMD ROHS</t>
  </si>
  <si>
    <t>CAP CER 10UF 25V X7R 1210</t>
  </si>
  <si>
    <t>SCHOTTKY DIODE SMB 100V 5A</t>
  </si>
  <si>
    <t>SMB(DO-214AA) TVS ROHS</t>
  </si>
  <si>
    <t>30V 3.3A 40A 6.6A 2920 Resettable Fuses ROHS</t>
  </si>
  <si>
    <t>Bend insert DC Power Receptacle -30℃~+85℃ 2.5mm 6mm 7A 24V Plugin DC Power Connectors ROHS</t>
  </si>
  <si>
    <t>1x6P SH 1 1mm 6 SMD,P=1mm Wire To Board / Wire To Wire Connector ROHS</t>
  </si>
  <si>
    <t>CONN HEADER R/A 5POS 2.5MM</t>
  </si>
  <si>
    <t>2.26A 4.7uH ±20% SMD,7.3x7.3mm Power Inductors ROHS</t>
  </si>
  <si>
    <t>RED LED 0603 Light Emitting Diodes</t>
  </si>
  <si>
    <t>TRANS NPN 65V 0.1A SOT23-3</t>
  </si>
  <si>
    <t>65V 200mW 220@2mA,5V 100mA PNP SOT-23 Bipolar Transistors - BJT ROHS</t>
  </si>
  <si>
    <t>MOSFET N-CH 55V 12A SOT223</t>
  </si>
  <si>
    <t>RES 0 OHM JUMPER 1/16W 0402</t>
  </si>
  <si>
    <t>RES 470 OHM 1% 1/10W 0603</t>
  </si>
  <si>
    <t>RES 22 OHM 1% 1/16W 0402</t>
  </si>
  <si>
    <t>RES 2K OHM 1% 1/16W 0402</t>
  </si>
  <si>
    <t>RES 4.7K OHM 1% 1/16W 0402</t>
  </si>
  <si>
    <t>SMD 2512 1% Resistor 51R 1W</t>
  </si>
  <si>
    <t>RES 10K OHM 1% 1/16W 0402</t>
  </si>
  <si>
    <t>SWITCH TACTILE SPST-NO 0.05A 12V</t>
  </si>
  <si>
    <t>IC REG BUCK 5V 2A TSOT26</t>
  </si>
  <si>
    <t>SOT-223 Linear Voltage Regulators (LDO) ROHS</t>
  </si>
  <si>
    <t>-90dBm 16dBm RTL8720DN Chip On-Board PCB Antenna 2.4GHz SMD,16x24mm WiFi Modules ROHS</t>
  </si>
  <si>
    <t>SOP-8 Logic Output Optoisolators ROHS</t>
  </si>
  <si>
    <t>Footprint</t>
  </si>
  <si>
    <t>Cap-0402</t>
  </si>
  <si>
    <t>RVT1H470M0607</t>
  </si>
  <si>
    <t>Cap-0805</t>
  </si>
  <si>
    <t>Cap-0603</t>
  </si>
  <si>
    <t>Cap-1210</t>
  </si>
  <si>
    <t>189RV0019</t>
  </si>
  <si>
    <t>Fuse-2920</t>
  </si>
  <si>
    <t>DC-044K-D025</t>
  </si>
  <si>
    <t>S5B-XH-A(LF)(SN)</t>
  </si>
  <si>
    <t>YPRH0703-4R7M</t>
  </si>
  <si>
    <t>LED-0603</t>
  </si>
  <si>
    <t>SOT-23</t>
  </si>
  <si>
    <t>SOT- 223</t>
  </si>
  <si>
    <t>Res-0402</t>
  </si>
  <si>
    <t>Res-0603</t>
  </si>
  <si>
    <t>RES-2512</t>
  </si>
  <si>
    <t>B3U-1000P</t>
  </si>
  <si>
    <t>TSOT-23-6</t>
  </si>
  <si>
    <t>BW16</t>
  </si>
  <si>
    <t>SOP-8 (S Type)</t>
  </si>
  <si>
    <t>Manufacturer Part Number</t>
  </si>
  <si>
    <t>CL05B104KB54PNC</t>
  </si>
  <si>
    <t>GRM21BR61A226ME44L</t>
  </si>
  <si>
    <t>CC0603JRX7R9BB104</t>
  </si>
  <si>
    <t>GCM21BC72A105KE36L</t>
  </si>
  <si>
    <t>GRM32ER71J106KA12L</t>
  </si>
  <si>
    <t>CC0402KRX5R6BB475</t>
  </si>
  <si>
    <t>CC0402KRX5R7BB105</t>
  </si>
  <si>
    <t>C3225X7R1E106M250AC</t>
  </si>
  <si>
    <t>SS510B</t>
  </si>
  <si>
    <t>SMBJ26CA</t>
  </si>
  <si>
    <t>BSMD2920-330-30V</t>
  </si>
  <si>
    <t>C145963</t>
  </si>
  <si>
    <t>NCD0603R3</t>
  </si>
  <si>
    <t>BC846B-7-F</t>
  </si>
  <si>
    <t>BC856B</t>
  </si>
  <si>
    <t>BUK9832-55A/CUX</t>
  </si>
  <si>
    <t>RC0402FR-070RL</t>
  </si>
  <si>
    <t>RC0603FR-07470RL</t>
  </si>
  <si>
    <t>RC0402FR-0722RL</t>
  </si>
  <si>
    <t>RC0402FR-072KL</t>
  </si>
  <si>
    <t>RC0402FR-074K7L</t>
  </si>
  <si>
    <t>RC0402FR-0710KL</t>
  </si>
  <si>
    <t>AP63205WU-7</t>
  </si>
  <si>
    <t>AMS1117-3.3</t>
  </si>
  <si>
    <t>6N137S</t>
  </si>
  <si>
    <t>Manufacturer</t>
  </si>
  <si>
    <t>Samsung</t>
  </si>
  <si>
    <t>ROQANG</t>
  </si>
  <si>
    <t>Murata</t>
  </si>
  <si>
    <t>Yageo</t>
  </si>
  <si>
    <t>KNSCHA</t>
  </si>
  <si>
    <t>TDK Corporation</t>
  </si>
  <si>
    <t>MDD</t>
  </si>
  <si>
    <t>MSKSEMI</t>
  </si>
  <si>
    <t>BHFUSE</t>
  </si>
  <si>
    <t>G-Switch</t>
  </si>
  <si>
    <t>BOOMELE</t>
  </si>
  <si>
    <t>JST</t>
  </si>
  <si>
    <t>YJYCOIN</t>
  </si>
  <si>
    <t>Foshan NationStar Optoelectronics</t>
  </si>
  <si>
    <t>Diodes</t>
  </si>
  <si>
    <t>Guangdong Hottech</t>
  </si>
  <si>
    <t>Nexperia</t>
  </si>
  <si>
    <t>Omron</t>
  </si>
  <si>
    <t>GUOXIN JIAPIN SEMICONDUCTOR</t>
  </si>
  <si>
    <t>Ai-Thinker</t>
  </si>
  <si>
    <t>UMW</t>
  </si>
  <si>
    <t>0.1uF</t>
  </si>
  <si>
    <t>47uF</t>
  </si>
  <si>
    <t>22uF</t>
  </si>
  <si>
    <t>1uF</t>
  </si>
  <si>
    <t>10uF</t>
  </si>
  <si>
    <t>4.7uF</t>
  </si>
  <si>
    <t>220uF</t>
  </si>
  <si>
    <t>4.7uH</t>
  </si>
  <si>
    <t>0R</t>
  </si>
  <si>
    <t>470R</t>
  </si>
  <si>
    <t>22R</t>
  </si>
  <si>
    <t>2K</t>
  </si>
  <si>
    <t>4.7K</t>
  </si>
  <si>
    <t>51R</t>
  </si>
  <si>
    <t>10K</t>
  </si>
  <si>
    <t>Quantity</t>
  </si>
  <si>
    <t>Remarks</t>
  </si>
  <si>
    <t>Value</t>
  </si>
  <si>
    <t>Module</t>
  </si>
  <si>
    <t>-</t>
  </si>
  <si>
    <t>Custom</t>
  </si>
  <si>
    <t>SMB</t>
  </si>
  <si>
    <t>SMB(DO-214AA)</t>
  </si>
  <si>
    <t>FOJAN</t>
  </si>
  <si>
    <t>FRC2512F51R0TS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</si>
</sst>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5"/>
  <sheetViews>
    <sheetView tabSelected="1" topLeftCell="A13" workbookViewId="0">
      <selection activeCell="L35" sqref="L35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5"/>
      <c r="J1" s="15"/>
      <c r="K1" s="15"/>
    </row>
    <row r="2" spans="1:11" ht="15.75" thickBot="1" x14ac:dyDescent="0.3">
      <c r="A2" s="1"/>
      <c r="B2" s="5" t="s">
        <v>0</v>
      </c>
      <c r="C2" s="5" t="s">
        <v>1</v>
      </c>
      <c r="D2" s="5" t="s">
        <v>15</v>
      </c>
      <c r="E2" s="6" t="s">
        <v>49</v>
      </c>
      <c r="F2" s="5" t="s">
        <v>83</v>
      </c>
      <c r="G2" s="6" t="s">
        <v>104</v>
      </c>
      <c r="H2" s="5" t="s">
        <v>130</v>
      </c>
      <c r="I2" s="6" t="s">
        <v>169</v>
      </c>
      <c r="J2" s="5" t="s">
        <v>167</v>
      </c>
      <c r="K2" s="5" t="s">
        <v>168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16</v>
      </c>
      <c r="E3" s="8" t="s">
        <v>50</v>
      </c>
      <c r="F3" s="7" t="s">
        <v>84</v>
      </c>
      <c r="G3" s="8" t="s">
        <v>105</v>
      </c>
      <c r="H3" s="7" t="s">
        <v>131</v>
      </c>
      <c r="I3" s="8" t="s">
        <v>152</v>
      </c>
      <c r="J3" s="7">
        <v>2</v>
      </c>
      <c r="K3" s="7"/>
    </row>
    <row r="4" spans="1:11" ht="36.75" thickBot="1" x14ac:dyDescent="0.3">
      <c r="A4" s="1"/>
      <c r="B4" s="11">
        <f t="shared" ref="B4:B34" si="0">ROW(B4) - ROW($B$2)</f>
        <v>2</v>
      </c>
      <c r="C4" s="13" t="s">
        <v>2</v>
      </c>
      <c r="D4" s="9" t="s">
        <v>17</v>
      </c>
      <c r="E4" s="10" t="s">
        <v>51</v>
      </c>
      <c r="F4" s="9" t="s">
        <v>172</v>
      </c>
      <c r="G4" s="10" t="s">
        <v>85</v>
      </c>
      <c r="H4" s="9" t="s">
        <v>132</v>
      </c>
      <c r="I4" s="10" t="s">
        <v>153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18</v>
      </c>
      <c r="E5" s="8" t="s">
        <v>52</v>
      </c>
      <c r="F5" s="7" t="s">
        <v>86</v>
      </c>
      <c r="G5" s="8" t="s">
        <v>106</v>
      </c>
      <c r="H5" s="7" t="s">
        <v>133</v>
      </c>
      <c r="I5" s="8" t="s">
        <v>154</v>
      </c>
      <c r="J5" s="7">
        <v>3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19</v>
      </c>
      <c r="E6" s="10" t="s">
        <v>53</v>
      </c>
      <c r="F6" s="9" t="s">
        <v>87</v>
      </c>
      <c r="G6" s="10" t="s">
        <v>107</v>
      </c>
      <c r="H6" s="9" t="s">
        <v>134</v>
      </c>
      <c r="I6" s="10" t="s">
        <v>152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20</v>
      </c>
      <c r="E7" s="8" t="s">
        <v>54</v>
      </c>
      <c r="F7" s="7" t="s">
        <v>86</v>
      </c>
      <c r="G7" s="8" t="s">
        <v>108</v>
      </c>
      <c r="H7" s="7" t="s">
        <v>133</v>
      </c>
      <c r="I7" s="8" t="s">
        <v>155</v>
      </c>
      <c r="J7" s="7">
        <v>1</v>
      </c>
      <c r="K7" s="7"/>
    </row>
    <row r="8" spans="1:11" ht="36.75" thickBot="1" x14ac:dyDescent="0.3">
      <c r="A8" s="1"/>
      <c r="B8" s="11">
        <f t="shared" si="0"/>
        <v>6</v>
      </c>
      <c r="C8" s="13" t="s">
        <v>2</v>
      </c>
      <c r="D8" s="9" t="s">
        <v>21</v>
      </c>
      <c r="E8" s="10" t="s">
        <v>55</v>
      </c>
      <c r="F8" s="9" t="s">
        <v>88</v>
      </c>
      <c r="G8" s="10" t="s">
        <v>109</v>
      </c>
      <c r="H8" s="9" t="s">
        <v>133</v>
      </c>
      <c r="I8" s="10" t="s">
        <v>156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22</v>
      </c>
      <c r="E9" s="8" t="s">
        <v>56</v>
      </c>
      <c r="F9" s="7" t="s">
        <v>84</v>
      </c>
      <c r="G9" s="8" t="s">
        <v>110</v>
      </c>
      <c r="H9" s="7" t="s">
        <v>134</v>
      </c>
      <c r="I9" s="8" t="s">
        <v>157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23</v>
      </c>
      <c r="E10" s="10" t="s">
        <v>57</v>
      </c>
      <c r="F10" s="9" t="s">
        <v>84</v>
      </c>
      <c r="G10" s="10" t="s">
        <v>111</v>
      </c>
      <c r="H10" s="9" t="s">
        <v>134</v>
      </c>
      <c r="I10" s="10" t="s">
        <v>155</v>
      </c>
      <c r="J10" s="9">
        <v>3</v>
      </c>
      <c r="K10" s="9"/>
    </row>
    <row r="11" spans="1:11" ht="48.75" thickBot="1" x14ac:dyDescent="0.3">
      <c r="A11" s="1"/>
      <c r="B11" s="11">
        <f>ROW(B11) - ROW($B$2)</f>
        <v>9</v>
      </c>
      <c r="C11" s="12" t="s">
        <v>3</v>
      </c>
      <c r="D11" s="7" t="s">
        <v>24</v>
      </c>
      <c r="E11" s="8" t="s">
        <v>58</v>
      </c>
      <c r="F11" s="7" t="s">
        <v>172</v>
      </c>
      <c r="G11" s="8" t="s">
        <v>89</v>
      </c>
      <c r="H11" s="7" t="s">
        <v>135</v>
      </c>
      <c r="I11" s="8" t="s">
        <v>158</v>
      </c>
      <c r="J11" s="7">
        <v>3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25</v>
      </c>
      <c r="E12" s="10" t="s">
        <v>59</v>
      </c>
      <c r="F12" s="9" t="s">
        <v>88</v>
      </c>
      <c r="G12" s="10" t="s">
        <v>112</v>
      </c>
      <c r="H12" s="9" t="s">
        <v>136</v>
      </c>
      <c r="I12" s="10" t="s">
        <v>156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4</v>
      </c>
      <c r="D13" s="7" t="s">
        <v>26</v>
      </c>
      <c r="E13" s="8" t="s">
        <v>60</v>
      </c>
      <c r="F13" s="7" t="s">
        <v>173</v>
      </c>
      <c r="G13" s="8" t="s">
        <v>113</v>
      </c>
      <c r="H13" s="7" t="s">
        <v>137</v>
      </c>
      <c r="I13" s="8" t="s">
        <v>171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4</v>
      </c>
      <c r="D14" s="9" t="s">
        <v>27</v>
      </c>
      <c r="E14" s="10" t="s">
        <v>61</v>
      </c>
      <c r="F14" s="9" t="s">
        <v>174</v>
      </c>
      <c r="G14" s="10" t="s">
        <v>114</v>
      </c>
      <c r="H14" s="9" t="s">
        <v>138</v>
      </c>
      <c r="I14" s="10" t="s">
        <v>171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5</v>
      </c>
      <c r="D15" s="7" t="s">
        <v>28</v>
      </c>
      <c r="E15" s="8" t="s">
        <v>62</v>
      </c>
      <c r="F15" s="7" t="s">
        <v>90</v>
      </c>
      <c r="G15" s="8" t="s">
        <v>115</v>
      </c>
      <c r="H15" s="7" t="s">
        <v>139</v>
      </c>
      <c r="I15" s="8" t="s">
        <v>171</v>
      </c>
      <c r="J15" s="7">
        <v>2</v>
      </c>
      <c r="K15" s="7"/>
    </row>
    <row r="16" spans="1:11" ht="36.75" thickBot="1" x14ac:dyDescent="0.3">
      <c r="A16" s="1"/>
      <c r="B16" s="11">
        <f t="shared" si="0"/>
        <v>14</v>
      </c>
      <c r="C16" s="13" t="s">
        <v>6</v>
      </c>
      <c r="D16" s="9" t="s">
        <v>29</v>
      </c>
      <c r="E16" s="10" t="s">
        <v>63</v>
      </c>
      <c r="F16" s="9" t="s">
        <v>172</v>
      </c>
      <c r="G16" s="10" t="s">
        <v>91</v>
      </c>
      <c r="H16" s="9" t="s">
        <v>140</v>
      </c>
      <c r="I16" s="10" t="s">
        <v>171</v>
      </c>
      <c r="J16" s="9">
        <v>1</v>
      </c>
      <c r="K16" s="9"/>
    </row>
    <row r="17" spans="1:11" ht="36.75" thickBot="1" x14ac:dyDescent="0.3">
      <c r="A17" s="1"/>
      <c r="B17" s="11">
        <f>ROW(B17) - ROW($B$2)</f>
        <v>15</v>
      </c>
      <c r="C17" s="12" t="s">
        <v>6</v>
      </c>
      <c r="D17" s="7" t="s">
        <v>30</v>
      </c>
      <c r="E17" s="8" t="s">
        <v>64</v>
      </c>
      <c r="F17" s="9" t="s">
        <v>172</v>
      </c>
      <c r="G17" s="8" t="s">
        <v>116</v>
      </c>
      <c r="H17" s="7" t="s">
        <v>141</v>
      </c>
      <c r="I17" s="8" t="s">
        <v>171</v>
      </c>
      <c r="J17" s="7">
        <v>2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6</v>
      </c>
      <c r="D18" s="9" t="s">
        <v>31</v>
      </c>
      <c r="E18" s="10" t="s">
        <v>65</v>
      </c>
      <c r="F18" s="9" t="s">
        <v>172</v>
      </c>
      <c r="G18" s="10" t="s">
        <v>92</v>
      </c>
      <c r="H18" s="9" t="s">
        <v>142</v>
      </c>
      <c r="I18" s="10" t="s">
        <v>171</v>
      </c>
      <c r="J18" s="9">
        <v>1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7</v>
      </c>
      <c r="D19" s="7" t="s">
        <v>32</v>
      </c>
      <c r="E19" s="8" t="s">
        <v>66</v>
      </c>
      <c r="F19" s="9" t="s">
        <v>172</v>
      </c>
      <c r="G19" s="8" t="s">
        <v>93</v>
      </c>
      <c r="H19" s="7" t="s">
        <v>143</v>
      </c>
      <c r="I19" s="8" t="s">
        <v>159</v>
      </c>
      <c r="J19" s="7">
        <v>1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8</v>
      </c>
      <c r="D20" s="9" t="s">
        <v>33</v>
      </c>
      <c r="E20" s="10" t="s">
        <v>67</v>
      </c>
      <c r="F20" s="9" t="s">
        <v>94</v>
      </c>
      <c r="G20" s="10" t="s">
        <v>117</v>
      </c>
      <c r="H20" s="9" t="s">
        <v>144</v>
      </c>
      <c r="I20" s="10" t="s">
        <v>171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9</v>
      </c>
      <c r="D21" s="7" t="s">
        <v>34</v>
      </c>
      <c r="E21" s="8" t="s">
        <v>68</v>
      </c>
      <c r="F21" s="7" t="s">
        <v>95</v>
      </c>
      <c r="G21" s="8" t="s">
        <v>118</v>
      </c>
      <c r="H21" s="7" t="s">
        <v>145</v>
      </c>
      <c r="I21" s="8" t="s">
        <v>171</v>
      </c>
      <c r="J21" s="7">
        <v>6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9</v>
      </c>
      <c r="D22" s="9" t="s">
        <v>35</v>
      </c>
      <c r="E22" s="10" t="s">
        <v>69</v>
      </c>
      <c r="F22" s="9" t="s">
        <v>95</v>
      </c>
      <c r="G22" s="10" t="s">
        <v>119</v>
      </c>
      <c r="H22" s="9" t="s">
        <v>146</v>
      </c>
      <c r="I22" s="10" t="s">
        <v>171</v>
      </c>
      <c r="J22" s="9">
        <v>3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10</v>
      </c>
      <c r="D23" s="7" t="s">
        <v>36</v>
      </c>
      <c r="E23" s="8" t="s">
        <v>70</v>
      </c>
      <c r="F23" s="7" t="s">
        <v>96</v>
      </c>
      <c r="G23" s="8" t="s">
        <v>120</v>
      </c>
      <c r="H23" s="7" t="s">
        <v>147</v>
      </c>
      <c r="I23" s="8" t="s">
        <v>171</v>
      </c>
      <c r="J23" s="7">
        <v>3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11</v>
      </c>
      <c r="D24" s="9" t="s">
        <v>37</v>
      </c>
      <c r="E24" s="10" t="s">
        <v>71</v>
      </c>
      <c r="F24" s="9" t="s">
        <v>97</v>
      </c>
      <c r="G24" s="10" t="s">
        <v>121</v>
      </c>
      <c r="H24" s="9" t="s">
        <v>134</v>
      </c>
      <c r="I24" s="10" t="s">
        <v>160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3" t="s">
        <v>11</v>
      </c>
      <c r="D25" s="7" t="s">
        <v>38</v>
      </c>
      <c r="E25" s="8" t="s">
        <v>72</v>
      </c>
      <c r="F25" s="7" t="s">
        <v>98</v>
      </c>
      <c r="G25" s="8" t="s">
        <v>122</v>
      </c>
      <c r="H25" s="7" t="s">
        <v>134</v>
      </c>
      <c r="I25" s="8" t="s">
        <v>161</v>
      </c>
      <c r="J25" s="7">
        <v>4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11</v>
      </c>
      <c r="D26" s="9" t="s">
        <v>39</v>
      </c>
      <c r="E26" s="10" t="s">
        <v>73</v>
      </c>
      <c r="F26" s="9" t="s">
        <v>97</v>
      </c>
      <c r="G26" s="10" t="s">
        <v>123</v>
      </c>
      <c r="H26" s="9" t="s">
        <v>134</v>
      </c>
      <c r="I26" s="10" t="s">
        <v>162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11</v>
      </c>
      <c r="D27" s="7" t="s">
        <v>40</v>
      </c>
      <c r="E27" s="8" t="s">
        <v>74</v>
      </c>
      <c r="F27" s="7" t="s">
        <v>97</v>
      </c>
      <c r="G27" s="8" t="s">
        <v>124</v>
      </c>
      <c r="H27" s="7" t="s">
        <v>134</v>
      </c>
      <c r="I27" s="8" t="s">
        <v>163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11</v>
      </c>
      <c r="D28" s="9" t="s">
        <v>41</v>
      </c>
      <c r="E28" s="10" t="s">
        <v>75</v>
      </c>
      <c r="F28" s="9" t="s">
        <v>97</v>
      </c>
      <c r="G28" s="10" t="s">
        <v>125</v>
      </c>
      <c r="H28" s="9" t="s">
        <v>134</v>
      </c>
      <c r="I28" s="10" t="s">
        <v>164</v>
      </c>
      <c r="J28" s="9">
        <v>6</v>
      </c>
      <c r="K28" s="9"/>
    </row>
    <row r="29" spans="1:11" ht="15.75" thickBot="1" x14ac:dyDescent="0.3">
      <c r="A29" s="1"/>
      <c r="B29" s="11">
        <f>ROW(B29) - ROW($B$2)</f>
        <v>27</v>
      </c>
      <c r="C29" s="13" t="s">
        <v>11</v>
      </c>
      <c r="D29" s="7" t="s">
        <v>42</v>
      </c>
      <c r="E29" s="8" t="s">
        <v>76</v>
      </c>
      <c r="F29" s="7" t="s">
        <v>99</v>
      </c>
      <c r="G29" s="8" t="s">
        <v>176</v>
      </c>
      <c r="H29" s="7" t="s">
        <v>175</v>
      </c>
      <c r="I29" s="8" t="s">
        <v>165</v>
      </c>
      <c r="J29" s="7">
        <v>3</v>
      </c>
      <c r="K29" s="14"/>
    </row>
    <row r="30" spans="1:11" ht="15.75" thickBot="1" x14ac:dyDescent="0.3">
      <c r="A30" s="1"/>
      <c r="B30" s="11">
        <f t="shared" si="0"/>
        <v>28</v>
      </c>
      <c r="C30" s="13" t="s">
        <v>11</v>
      </c>
      <c r="D30" s="9" t="s">
        <v>43</v>
      </c>
      <c r="E30" s="10" t="s">
        <v>77</v>
      </c>
      <c r="F30" s="9" t="s">
        <v>97</v>
      </c>
      <c r="G30" s="10" t="s">
        <v>126</v>
      </c>
      <c r="H30" s="9" t="s">
        <v>134</v>
      </c>
      <c r="I30" s="10" t="s">
        <v>166</v>
      </c>
      <c r="J30" s="9">
        <v>3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12</v>
      </c>
      <c r="D31" s="7" t="s">
        <v>44</v>
      </c>
      <c r="E31" s="8" t="s">
        <v>78</v>
      </c>
      <c r="F31" s="7" t="s">
        <v>172</v>
      </c>
      <c r="G31" s="8" t="s">
        <v>100</v>
      </c>
      <c r="H31" s="7" t="s">
        <v>148</v>
      </c>
      <c r="I31" s="8" t="s">
        <v>171</v>
      </c>
      <c r="J31" s="7">
        <v>2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13</v>
      </c>
      <c r="D32" s="9" t="s">
        <v>45</v>
      </c>
      <c r="E32" s="10" t="s">
        <v>79</v>
      </c>
      <c r="F32" s="9" t="s">
        <v>101</v>
      </c>
      <c r="G32" s="10" t="s">
        <v>127</v>
      </c>
      <c r="H32" s="9" t="s">
        <v>145</v>
      </c>
      <c r="I32" s="10" t="s">
        <v>171</v>
      </c>
      <c r="J32" s="9">
        <v>1</v>
      </c>
      <c r="K32" s="9"/>
    </row>
    <row r="33" spans="1:11" ht="24.75" thickBot="1" x14ac:dyDescent="0.3">
      <c r="A33" s="1"/>
      <c r="B33" s="11">
        <f>ROW(B33) - ROW($B$2)</f>
        <v>31</v>
      </c>
      <c r="C33" s="12" t="s">
        <v>13</v>
      </c>
      <c r="D33" s="7" t="s">
        <v>46</v>
      </c>
      <c r="E33" s="8" t="s">
        <v>80</v>
      </c>
      <c r="F33" s="7" t="s">
        <v>96</v>
      </c>
      <c r="G33" s="8" t="s">
        <v>128</v>
      </c>
      <c r="H33" s="7" t="s">
        <v>149</v>
      </c>
      <c r="I33" s="8" t="s">
        <v>171</v>
      </c>
      <c r="J33" s="7">
        <v>1</v>
      </c>
      <c r="K33" s="7"/>
    </row>
    <row r="34" spans="1:11" ht="36.75" thickBot="1" x14ac:dyDescent="0.3">
      <c r="A34" s="1"/>
      <c r="B34" s="11">
        <f t="shared" si="0"/>
        <v>32</v>
      </c>
      <c r="C34" s="13" t="s">
        <v>170</v>
      </c>
      <c r="D34" s="9" t="s">
        <v>47</v>
      </c>
      <c r="E34" s="10" t="s">
        <v>81</v>
      </c>
      <c r="F34" s="9" t="s">
        <v>172</v>
      </c>
      <c r="G34" s="10" t="s">
        <v>102</v>
      </c>
      <c r="H34" s="9" t="s">
        <v>150</v>
      </c>
      <c r="I34" s="10" t="s">
        <v>171</v>
      </c>
      <c r="J34" s="9">
        <v>1</v>
      </c>
      <c r="K34" s="9"/>
    </row>
    <row r="35" spans="1:11" ht="24.75" thickBot="1" x14ac:dyDescent="0.3">
      <c r="A35" s="1"/>
      <c r="B35" s="11">
        <f>ROW(B35) - ROW($B$2)</f>
        <v>33</v>
      </c>
      <c r="C35" s="12" t="s">
        <v>14</v>
      </c>
      <c r="D35" s="7" t="s">
        <v>48</v>
      </c>
      <c r="E35" s="8" t="s">
        <v>82</v>
      </c>
      <c r="F35" s="7" t="s">
        <v>103</v>
      </c>
      <c r="G35" s="8" t="s">
        <v>129</v>
      </c>
      <c r="H35" s="7" t="s">
        <v>151</v>
      </c>
      <c r="I35" s="8" t="s">
        <v>171</v>
      </c>
      <c r="J35" s="7">
        <v>3</v>
      </c>
      <c r="K35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2024-11-26T07:23:16Z</dcterms:modified>
</cp:coreProperties>
</file>