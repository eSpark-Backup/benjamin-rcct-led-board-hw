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Termination-Board-v1.0.1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<sst xmlns="http://schemas.openxmlformats.org/spreadsheetml/2006/main" count="66" uniqueCount="56">
  <si>
    <t>#</t>
  </si>
  <si>
    <t>Item Type</t>
  </si>
  <si>
    <t>Capacitor</t>
  </si>
  <si>
    <t>Diode</t>
  </si>
  <si>
    <t>Fuse</t>
  </si>
  <si>
    <t>Designator</t>
  </si>
  <si>
    <t>C1, C2</t>
  </si>
  <si>
    <t>C3</t>
  </si>
  <si>
    <t>C4</t>
  </si>
  <si>
    <t>D1</t>
  </si>
  <si>
    <t>D2</t>
  </si>
  <si>
    <t>F1</t>
  </si>
  <si>
    <t>J1</t>
  </si>
  <si>
    <t>J2</t>
  </si>
  <si>
    <t>Description</t>
  </si>
  <si>
    <t>47uF 50V 66mA@120Hz ±20% SMD,D6.3xL7.7mm Aluminum Electrolytic Capacitors - SMD ROHS</t>
  </si>
  <si>
    <t>CAP CER 0.1UF 50V X7R 0603</t>
  </si>
  <si>
    <t>CAP CER 1UF 100V X7S 0805</t>
  </si>
  <si>
    <t>SCHOTTKY DIODE SMB 100V 5A</t>
  </si>
  <si>
    <t>SMB(DO-214AA) TVS ROHS</t>
  </si>
  <si>
    <t>30V 3.3A 40A 6.6A 2920 Resettable Fuses ROHS</t>
  </si>
  <si>
    <t>CONN HEADER R/A 5POS 2.5MM</t>
  </si>
  <si>
    <t>Bend insert DC Power Receptacle -30℃~+85℃ 2.5mm 6mm 7A 24V Plugin DC Power Connectors ROHS</t>
  </si>
  <si>
    <t>Footprint</t>
  </si>
  <si>
    <t>RVT1H470M0607</t>
  </si>
  <si>
    <t>Cap-0603</t>
  </si>
  <si>
    <t>Cap-0805</t>
  </si>
  <si>
    <t>SMB Bi Directional</t>
  </si>
  <si>
    <t>Fuse-2920</t>
  </si>
  <si>
    <t>S5B-XH-A(LF)(SN)</t>
  </si>
  <si>
    <t>DC-044K-D025</t>
  </si>
  <si>
    <t>Manufacturer Part Number</t>
  </si>
  <si>
    <t>CC0603JRX7R9BB104</t>
  </si>
  <si>
    <t>GCM21BC72A105KE36L</t>
  </si>
  <si>
    <t>SS510B</t>
  </si>
  <si>
    <t>SMBJ26CA</t>
  </si>
  <si>
    <t>BSMD2920-330-30V</t>
  </si>
  <si>
    <t>Manufacturer</t>
  </si>
  <si>
    <t>ROQANG</t>
  </si>
  <si>
    <t>Yageo</t>
  </si>
  <si>
    <t>Murata</t>
  </si>
  <si>
    <t>MDD</t>
  </si>
  <si>
    <t>MSKSEMI</t>
  </si>
  <si>
    <t>BHFUSE</t>
  </si>
  <si>
    <t>JST</t>
  </si>
  <si>
    <t>G-Switch</t>
  </si>
  <si>
    <t>47uF</t>
  </si>
  <si>
    <t>0.1uF</t>
  </si>
  <si>
    <t>1uF</t>
  </si>
  <si>
    <t>Quantity</t>
  </si>
  <si>
    <t>Remarks</t>
  </si>
  <si>
    <t>Value</t>
  </si>
  <si>
    <t>Connector</t>
  </si>
  <si>
    <t>-</t>
  </si>
  <si>
    <t>Custom</t>
  </si>
  <si>
    <t>SMB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</si>
</sst>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"/>
  <sheetViews>
    <sheetView tabSelected="1" workbookViewId="0">
      <selection activeCell="L11" sqref="L1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5</v>
      </c>
      <c r="E2" s="6" t="s">
        <v>14</v>
      </c>
      <c r="F2" s="5" t="s">
        <v>23</v>
      </c>
      <c r="G2" s="6" t="s">
        <v>31</v>
      </c>
      <c r="H2" s="5" t="s">
        <v>37</v>
      </c>
      <c r="I2" s="6" t="s">
        <v>51</v>
      </c>
      <c r="J2" s="5" t="s">
        <v>49</v>
      </c>
      <c r="K2" s="5" t="s">
        <v>50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6</v>
      </c>
      <c r="E3" s="8" t="s">
        <v>15</v>
      </c>
      <c r="F3" s="7" t="s">
        <v>54</v>
      </c>
      <c r="G3" s="8" t="s">
        <v>24</v>
      </c>
      <c r="H3" s="7" t="s">
        <v>38</v>
      </c>
      <c r="I3" s="8" t="s">
        <v>46</v>
      </c>
      <c r="J3" s="7">
        <v>2</v>
      </c>
      <c r="K3" s="7"/>
    </row>
    <row r="4" spans="1:11" ht="15.75" thickBot="1" x14ac:dyDescent="0.3">
      <c r="A4" s="1"/>
      <c r="B4" s="11">
        <f t="shared" ref="B4:B10" si="0">ROW(B4) - ROW($B$2)</f>
        <v>2</v>
      </c>
      <c r="C4" s="13" t="s">
        <v>2</v>
      </c>
      <c r="D4" s="9" t="s">
        <v>7</v>
      </c>
      <c r="E4" s="10" t="s">
        <v>16</v>
      </c>
      <c r="F4" s="9" t="s">
        <v>25</v>
      </c>
      <c r="G4" s="10" t="s">
        <v>32</v>
      </c>
      <c r="H4" s="9" t="s">
        <v>39</v>
      </c>
      <c r="I4" s="10" t="s">
        <v>47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8</v>
      </c>
      <c r="E5" s="8" t="s">
        <v>17</v>
      </c>
      <c r="F5" s="7" t="s">
        <v>26</v>
      </c>
      <c r="G5" s="8" t="s">
        <v>33</v>
      </c>
      <c r="H5" s="7" t="s">
        <v>40</v>
      </c>
      <c r="I5" s="8" t="s">
        <v>48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9</v>
      </c>
      <c r="E6" s="10" t="s">
        <v>18</v>
      </c>
      <c r="F6" s="9" t="s">
        <v>55</v>
      </c>
      <c r="G6" s="10" t="s">
        <v>34</v>
      </c>
      <c r="H6" s="9" t="s">
        <v>41</v>
      </c>
      <c r="I6" s="10" t="s">
        <v>53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10</v>
      </c>
      <c r="E7" s="8" t="s">
        <v>19</v>
      </c>
      <c r="F7" s="7" t="s">
        <v>27</v>
      </c>
      <c r="G7" s="8" t="s">
        <v>35</v>
      </c>
      <c r="H7" s="7" t="s">
        <v>42</v>
      </c>
      <c r="I7" s="8" t="s">
        <v>53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4</v>
      </c>
      <c r="D8" s="9" t="s">
        <v>11</v>
      </c>
      <c r="E8" s="10" t="s">
        <v>20</v>
      </c>
      <c r="F8" s="9" t="s">
        <v>28</v>
      </c>
      <c r="G8" s="10" t="s">
        <v>36</v>
      </c>
      <c r="H8" s="9" t="s">
        <v>43</v>
      </c>
      <c r="I8" s="10" t="s">
        <v>53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52</v>
      </c>
      <c r="D9" s="7" t="s">
        <v>12</v>
      </c>
      <c r="E9" s="8" t="s">
        <v>21</v>
      </c>
      <c r="F9" s="7" t="s">
        <v>54</v>
      </c>
      <c r="G9" s="8" t="s">
        <v>29</v>
      </c>
      <c r="H9" s="7" t="s">
        <v>44</v>
      </c>
      <c r="I9" s="8" t="s">
        <v>53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52</v>
      </c>
      <c r="D10" s="9" t="s">
        <v>13</v>
      </c>
      <c r="E10" s="10" t="s">
        <v>22</v>
      </c>
      <c r="F10" s="9" t="s">
        <v>54</v>
      </c>
      <c r="G10" s="10" t="s">
        <v>30</v>
      </c>
      <c r="H10" s="9" t="s">
        <v>45</v>
      </c>
      <c r="I10" s="10" t="s">
        <v>53</v>
      </c>
      <c r="J10" s="9">
        <v>1</v>
      </c>
      <c r="K1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2024-11-25T12:41:09Z</dcterms:modified>
</cp:coreProperties>
</file>