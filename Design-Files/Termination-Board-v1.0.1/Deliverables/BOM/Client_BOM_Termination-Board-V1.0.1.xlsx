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benjamin-rcctledboard-hw\Design-Files\Termination-Board-v1.0.0\Deliverables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10" i="1" l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<sst xmlns="http://schemas.openxmlformats.org/spreadsheetml/2006/main" count="66" uniqueCount="56">
  <si>
    <t>#</t>
  </si>
  <si>
    <t>Item Type</t>
  </si>
  <si>
    <t>Capacitor</t>
  </si>
  <si>
    <t>Diode</t>
  </si>
  <si>
    <t>Fuse</t>
  </si>
  <si>
    <t>Designator</t>
  </si>
  <si>
    <t>C1, C2</t>
  </si>
  <si>
    <t>C3</t>
  </si>
  <si>
    <t>C4</t>
  </si>
  <si>
    <t>D1</t>
  </si>
  <si>
    <t>D2</t>
  </si>
  <si>
    <t>F1</t>
  </si>
  <si>
    <t>J1</t>
  </si>
  <si>
    <t>J2</t>
  </si>
  <si>
    <t>Description</t>
  </si>
  <si>
    <t>47uF 50V 66mA@120Hz ±20% SMD,D6.3xL7.7mm Aluminum Electrolytic Capacitors - SMD ROHS</t>
  </si>
  <si>
    <t>CAP CER 0.1UF 25V X7R 0603</t>
  </si>
  <si>
    <t>CAP CER 1UF 100V X7S 0805</t>
  </si>
  <si>
    <t>DIODE SCHOTTKY 60V 2A SMA</t>
  </si>
  <si>
    <t>SMB(DO-214AA) TVS ROHS</t>
  </si>
  <si>
    <t>33V 1.1A 40A 2.2A 1812 Resettable Fuses ROHS</t>
  </si>
  <si>
    <t>CONN HEADER SMD R/A 5POS 2MM</t>
  </si>
  <si>
    <t>CONN PWR JACK 2X5.5MM SOLDER</t>
  </si>
  <si>
    <t>Footprint</t>
  </si>
  <si>
    <t>RVT1H470M0607</t>
  </si>
  <si>
    <t>Cap-0603</t>
  </si>
  <si>
    <t>Cap-0805</t>
  </si>
  <si>
    <t>SMA</t>
  </si>
  <si>
    <t>S5B-PH-SM4-TB(LF)(SN)</t>
  </si>
  <si>
    <t>PJ-051AH</t>
  </si>
  <si>
    <t>Manufacturer Part Number</t>
  </si>
  <si>
    <t>CC0603JRX7R8BB104</t>
  </si>
  <si>
    <t>GCM21BC72A105KE36L</t>
  </si>
  <si>
    <t>B260A-13-F</t>
  </si>
  <si>
    <t>SMBJ26CA</t>
  </si>
  <si>
    <t>BSMD1812-150-33V</t>
  </si>
  <si>
    <t>Manufacturer</t>
  </si>
  <si>
    <t>ROQANG</t>
  </si>
  <si>
    <t>Yageo</t>
  </si>
  <si>
    <t>Murata</t>
  </si>
  <si>
    <t>Diodes</t>
  </si>
  <si>
    <t>MSKSEMI</t>
  </si>
  <si>
    <t>BHFUSE</t>
  </si>
  <si>
    <t>JST</t>
  </si>
  <si>
    <t>CUI Devices</t>
  </si>
  <si>
    <t>47uF</t>
  </si>
  <si>
    <t>0.1uF</t>
  </si>
  <si>
    <t>1uF</t>
  </si>
  <si>
    <t>Quantity</t>
  </si>
  <si>
    <t>Remarks</t>
  </si>
  <si>
    <t>Value</t>
  </si>
  <si>
    <t>Connector</t>
  </si>
  <si>
    <t>Fuse-1812</t>
  </si>
  <si>
    <t>Custom</t>
  </si>
  <si>
    <t>-</t>
  </si>
  <si>
    <t>SMB (DO-214AA)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</si>
</sst>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10"/>
  <sheetViews>
    <sheetView tabSelected="1" workbookViewId="0">
      <selection activeCell="F7" sqref="F7"/>
    </sheetView>
  </sheetViews>
  <sheetFormatPr defaultRowHeight="15" x14ac:dyDescent="0.25"/>
  <cols>
    <col min="2" max="2" width="3.140625" style="4" customWidth="1"/>
    <col min="3" max="3" width="18.7109375" style="4" bestFit="1" customWidth="1"/>
    <col min="4" max="4" width="36" bestFit="1" customWidth="1"/>
    <col min="5" max="5" width="30" customWidth="1"/>
    <col min="6" max="6" width="26.5703125" bestFit="1" customWidth="1"/>
    <col min="7" max="7" width="33.42578125" bestFit="1" customWidth="1"/>
    <col min="8" max="8" width="21.42578125" bestFit="1" customWidth="1"/>
    <col min="9" max="9" width="17.85546875" bestFit="1" customWidth="1"/>
    <col min="10" max="10" width="16.7109375" bestFit="1" customWidth="1"/>
    <col min="11" max="11" width="29.42578125" customWidth="1"/>
  </cols>
  <sheetData>
    <row r="1" spans="1:11" ht="15.75" thickBot="1" x14ac:dyDescent="0.3">
      <c r="A1" s="1"/>
      <c r="B1" s="3"/>
      <c r="C1" s="3"/>
      <c r="D1" s="2"/>
      <c r="E1" s="2"/>
      <c r="F1" s="2"/>
      <c r="G1" s="2"/>
      <c r="H1" s="2"/>
      <c r="I1" s="14"/>
      <c r="J1" s="14"/>
      <c r="K1" s="14"/>
    </row>
    <row r="2" spans="1:11" ht="15.75" thickBot="1" x14ac:dyDescent="0.3">
      <c r="A2" s="1"/>
      <c r="B2" s="5" t="s">
        <v>0</v>
      </c>
      <c r="C2" s="5" t="s">
        <v>1</v>
      </c>
      <c r="D2" s="5" t="s">
        <v>5</v>
      </c>
      <c r="E2" s="6" t="s">
        <v>14</v>
      </c>
      <c r="F2" s="5" t="s">
        <v>23</v>
      </c>
      <c r="G2" s="6" t="s">
        <v>30</v>
      </c>
      <c r="H2" s="5" t="s">
        <v>36</v>
      </c>
      <c r="I2" s="6" t="s">
        <v>50</v>
      </c>
      <c r="J2" s="5" t="s">
        <v>48</v>
      </c>
      <c r="K2" s="5" t="s">
        <v>49</v>
      </c>
    </row>
    <row r="3" spans="1:11" ht="36.75" thickBot="1" x14ac:dyDescent="0.3">
      <c r="A3" s="1"/>
      <c r="B3" s="11">
        <f>ROW(B3) - ROW($B$2)</f>
        <v>1</v>
      </c>
      <c r="C3" s="12" t="s">
        <v>2</v>
      </c>
      <c r="D3" s="7" t="s">
        <v>6</v>
      </c>
      <c r="E3" s="8" t="s">
        <v>15</v>
      </c>
      <c r="F3" s="7" t="s">
        <v>53</v>
      </c>
      <c r="G3" s="8" t="s">
        <v>24</v>
      </c>
      <c r="H3" s="7" t="s">
        <v>37</v>
      </c>
      <c r="I3" s="8" t="s">
        <v>45</v>
      </c>
      <c r="J3" s="7">
        <v>2</v>
      </c>
      <c r="K3" s="7"/>
    </row>
    <row r="4" spans="1:11" ht="15.75" thickBot="1" x14ac:dyDescent="0.3">
      <c r="A4" s="1"/>
      <c r="B4" s="11">
        <f t="shared" ref="B4:B10" si="0">ROW(B4) - ROW($B$2)</f>
        <v>2</v>
      </c>
      <c r="C4" s="13" t="s">
        <v>2</v>
      </c>
      <c r="D4" s="9" t="s">
        <v>7</v>
      </c>
      <c r="E4" s="10" t="s">
        <v>16</v>
      </c>
      <c r="F4" s="9" t="s">
        <v>25</v>
      </c>
      <c r="G4" s="10" t="s">
        <v>31</v>
      </c>
      <c r="H4" s="9" t="s">
        <v>38</v>
      </c>
      <c r="I4" s="10" t="s">
        <v>46</v>
      </c>
      <c r="J4" s="9">
        <v>1</v>
      </c>
      <c r="K4" s="9"/>
    </row>
    <row r="5" spans="1:11" ht="15.75" thickBot="1" x14ac:dyDescent="0.3">
      <c r="A5" s="1"/>
      <c r="B5" s="11">
        <f>ROW(B5) - ROW($B$2)</f>
        <v>3</v>
      </c>
      <c r="C5" s="12" t="s">
        <v>2</v>
      </c>
      <c r="D5" s="7" t="s">
        <v>8</v>
      </c>
      <c r="E5" s="8" t="s">
        <v>17</v>
      </c>
      <c r="F5" s="7" t="s">
        <v>26</v>
      </c>
      <c r="G5" s="8" t="s">
        <v>32</v>
      </c>
      <c r="H5" s="7" t="s">
        <v>39</v>
      </c>
      <c r="I5" s="8" t="s">
        <v>47</v>
      </c>
      <c r="J5" s="7">
        <v>1</v>
      </c>
      <c r="K5" s="7"/>
    </row>
    <row r="6" spans="1:11" ht="15.75" thickBot="1" x14ac:dyDescent="0.3">
      <c r="A6" s="1"/>
      <c r="B6" s="11">
        <f t="shared" si="0"/>
        <v>4</v>
      </c>
      <c r="C6" s="13" t="s">
        <v>3</v>
      </c>
      <c r="D6" s="9" t="s">
        <v>9</v>
      </c>
      <c r="E6" s="10" t="s">
        <v>18</v>
      </c>
      <c r="F6" s="9" t="s">
        <v>27</v>
      </c>
      <c r="G6" s="10" t="s">
        <v>33</v>
      </c>
      <c r="H6" s="9" t="s">
        <v>40</v>
      </c>
      <c r="I6" s="10" t="s">
        <v>54</v>
      </c>
      <c r="J6" s="9">
        <v>1</v>
      </c>
      <c r="K6" s="9"/>
    </row>
    <row r="7" spans="1:11" ht="15.75" thickBot="1" x14ac:dyDescent="0.3">
      <c r="A7" s="1"/>
      <c r="B7" s="11">
        <f>ROW(B7) - ROW($B$2)</f>
        <v>5</v>
      </c>
      <c r="C7" s="12" t="s">
        <v>3</v>
      </c>
      <c r="D7" s="7" t="s">
        <v>10</v>
      </c>
      <c r="E7" s="8" t="s">
        <v>19</v>
      </c>
      <c r="F7" s="7" t="s">
        <v>55</v>
      </c>
      <c r="G7" s="8" t="s">
        <v>34</v>
      </c>
      <c r="H7" s="7" t="s">
        <v>41</v>
      </c>
      <c r="I7" s="8" t="s">
        <v>54</v>
      </c>
      <c r="J7" s="7">
        <v>1</v>
      </c>
      <c r="K7" s="7"/>
    </row>
    <row r="8" spans="1:11" ht="24.75" thickBot="1" x14ac:dyDescent="0.3">
      <c r="A8" s="1"/>
      <c r="B8" s="11">
        <f t="shared" si="0"/>
        <v>6</v>
      </c>
      <c r="C8" s="13" t="s">
        <v>4</v>
      </c>
      <c r="D8" s="9" t="s">
        <v>11</v>
      </c>
      <c r="E8" s="10" t="s">
        <v>20</v>
      </c>
      <c r="F8" s="9" t="s">
        <v>52</v>
      </c>
      <c r="G8" s="10" t="s">
        <v>35</v>
      </c>
      <c r="H8" s="9" t="s">
        <v>42</v>
      </c>
      <c r="I8" s="10" t="s">
        <v>54</v>
      </c>
      <c r="J8" s="9">
        <v>1</v>
      </c>
      <c r="K8" s="9"/>
    </row>
    <row r="9" spans="1:11" ht="15.75" thickBot="1" x14ac:dyDescent="0.3">
      <c r="A9" s="1"/>
      <c r="B9" s="11">
        <f>ROW(B9) - ROW($B$2)</f>
        <v>7</v>
      </c>
      <c r="C9" s="12" t="s">
        <v>51</v>
      </c>
      <c r="D9" s="7" t="s">
        <v>12</v>
      </c>
      <c r="E9" s="8" t="s">
        <v>21</v>
      </c>
      <c r="F9" s="7" t="s">
        <v>53</v>
      </c>
      <c r="G9" s="8" t="s">
        <v>28</v>
      </c>
      <c r="H9" s="7" t="s">
        <v>43</v>
      </c>
      <c r="I9" s="8" t="s">
        <v>54</v>
      </c>
      <c r="J9" s="7">
        <v>1</v>
      </c>
      <c r="K9" s="7"/>
    </row>
    <row r="10" spans="1:11" ht="15.75" thickBot="1" x14ac:dyDescent="0.3">
      <c r="A10" s="1"/>
      <c r="B10" s="11">
        <f t="shared" si="0"/>
        <v>8</v>
      </c>
      <c r="C10" s="13" t="s">
        <v>51</v>
      </c>
      <c r="D10" s="9" t="s">
        <v>13</v>
      </c>
      <c r="E10" s="10" t="s">
        <v>22</v>
      </c>
      <c r="F10" s="7" t="s">
        <v>53</v>
      </c>
      <c r="G10" s="10" t="s">
        <v>29</v>
      </c>
      <c r="H10" s="9" t="s">
        <v>44</v>
      </c>
      <c r="I10" s="10" t="s">
        <v>54</v>
      </c>
      <c r="J10" s="9">
        <v>1</v>
      </c>
      <c r="K10" s="9"/>
    </row>
  </sheetData>
  <mergeCells count="1">
    <mergeCell ref="I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eSpark</cp:lastModifiedBy>
  <dcterms:created xsi:type="dcterms:W3CDTF">2019-12-12T10:34:26Z</dcterms:created>
  <dcterms:modified xsi:type="dcterms:W3CDTF">2024-11-18T11:45:42Z</dcterms:modified>
</cp:coreProperties>
</file>